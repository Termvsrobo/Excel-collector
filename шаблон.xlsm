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0" yWindow="0" windowWidth="28800" windowHeight="12420"/>
  </bookViews>
  <sheets>
    <sheet name="Лист1" sheetId="10" r:id="rId1"/>
    <sheet name="карта 15" sheetId="7" r:id="rId2"/>
    <sheet name="Новый магазин" sheetId="8" r:id="rId3"/>
    <sheet name="таблица ВД" sheetId="9" r:id="rId4"/>
  </sheets>
  <definedNames>
    <definedName name="_xlnm._FilterDatabase" localSheetId="1" hidden="1">'карта 15'!$F$1:$R$36</definedName>
  </definedNames>
  <calcPr calcId="152511"/>
</workbook>
</file>

<file path=xl/calcChain.xml><?xml version="1.0" encoding="utf-8"?>
<calcChain xmlns="http://schemas.openxmlformats.org/spreadsheetml/2006/main">
  <c r="M9" i="7" l="1"/>
  <c r="M2" i="7"/>
  <c r="M4" i="7"/>
  <c r="M13" i="7"/>
  <c r="M15" i="7"/>
  <c r="M10" i="7"/>
</calcChain>
</file>

<file path=xl/sharedStrings.xml><?xml version="1.0" encoding="utf-8"?>
<sst xmlns="http://schemas.openxmlformats.org/spreadsheetml/2006/main" count="167" uniqueCount="87">
  <si>
    <t>ДОГОВОР</t>
  </si>
  <si>
    <t>Валовая прибыль</t>
  </si>
  <si>
    <t>Средний товарный запас</t>
  </si>
  <si>
    <t>Оборачиваемость</t>
  </si>
  <si>
    <t>Соотношение торговой наценки поставщика и средней торговой наценки по категории</t>
  </si>
  <si>
    <t>Себестоимость продаж</t>
  </si>
  <si>
    <t>Торговая наценка</t>
  </si>
  <si>
    <t>Сумма неликвидного товара</t>
  </si>
  <si>
    <t>Уровень сервиса поставщика</t>
  </si>
  <si>
    <t>Периодичность изменения цен</t>
  </si>
  <si>
    <t xml:space="preserve">Количество промоутеров </t>
  </si>
  <si>
    <t>Количество мерчендайзеров</t>
  </si>
  <si>
    <t>Способ доставки</t>
  </si>
  <si>
    <t>Доля нарушений по претензионным поводам в общем кол-ве исполненных заказов</t>
  </si>
  <si>
    <t>Функциональный тип контракта</t>
  </si>
  <si>
    <t>Категория</t>
  </si>
  <si>
    <t>Наличие согласия поставщика на возврат товара на условиях Компании  (да/нет)</t>
  </si>
  <si>
    <t>Обучение персонала розничной сети  (да/нет)</t>
  </si>
  <si>
    <t>Наличие штрих-кода на товаре  (да/нет)</t>
  </si>
  <si>
    <t>Наличие маркировки отгрузочных мест для транзита (в соответствии с адресом доставки)  (да/нет)</t>
  </si>
  <si>
    <t>план 2017г.</t>
  </si>
  <si>
    <t>Факт 2015г.</t>
  </si>
  <si>
    <t>Ассортиментная матрица поставщика в категории - кол-во SKU</t>
  </si>
  <si>
    <t>Товарообоброт</t>
  </si>
  <si>
    <t>Реализация</t>
  </si>
  <si>
    <t>Событие для отсрочки- отгрузка/приемка</t>
  </si>
  <si>
    <t>Наличие согласия поставщика по хранению товара на своем складе после заказа до открытия нового магазина</t>
  </si>
  <si>
    <t>Предоплата,%</t>
  </si>
  <si>
    <t>Показатели по поставщику</t>
  </si>
  <si>
    <t>Показатели по поставщику/нашей компании</t>
  </si>
  <si>
    <t xml:space="preserve">Коммерческие условия  </t>
  </si>
  <si>
    <t>Наличие согласия поставщика по предоставлению   оборудования</t>
  </si>
  <si>
    <t xml:space="preserve">Доля неликвидного товара поставщика в СТЗ </t>
  </si>
  <si>
    <t xml:space="preserve">К-финансирования по поставщику </t>
  </si>
  <si>
    <t xml:space="preserve">Отсрочка -  кол-во дней </t>
  </si>
  <si>
    <t>Вид  дней отсрочки - календарные/рабочие</t>
  </si>
  <si>
    <t>Бонус - % от объема закупленного товара для нового магазина</t>
  </si>
  <si>
    <t>Отсрочка на  открытие нового магазина - кол-во дней</t>
  </si>
  <si>
    <t>ПЭО</t>
  </si>
  <si>
    <t>ОУТЗ</t>
  </si>
  <si>
    <t>Прет.О</t>
  </si>
  <si>
    <t>ассистент</t>
  </si>
  <si>
    <t>торговое</t>
  </si>
  <si>
    <t>складское</t>
  </si>
  <si>
    <t>информационное</t>
  </si>
  <si>
    <t>Наличие согласия поставщика на предоставление данных для формирования Интернет-каталога</t>
  </si>
  <si>
    <t>Скидка на выставочные образцы</t>
  </si>
  <si>
    <r>
      <t xml:space="preserve">Условия оплаты (один раз в неделю) </t>
    </r>
    <r>
      <rPr>
        <sz val="10"/>
        <color indexed="10"/>
        <rFont val="Times New Roman"/>
        <family val="1"/>
        <charset val="204"/>
      </rPr>
      <t>(срок оплаты м.б. увеличен не более чем на 7 дней)</t>
    </r>
  </si>
  <si>
    <t>Наличие согласия поставщика на предоставление мерчендайзеров</t>
  </si>
  <si>
    <t>Факт 01.01.16-30.09.16</t>
  </si>
  <si>
    <t>Этап 1</t>
  </si>
  <si>
    <t>Этап 2</t>
  </si>
  <si>
    <t>Этап 3</t>
  </si>
  <si>
    <t>Банковские дни</t>
  </si>
  <si>
    <t>Приемка</t>
  </si>
  <si>
    <t>Календарные дни</t>
  </si>
  <si>
    <t>82,13</t>
  </si>
  <si>
    <t>92,74</t>
  </si>
  <si>
    <t>Товарооборот</t>
  </si>
  <si>
    <t>да</t>
  </si>
  <si>
    <t>нет</t>
  </si>
  <si>
    <t>дни</t>
  </si>
  <si>
    <t>отгрузка</t>
  </si>
  <si>
    <t xml:space="preserve"> - </t>
  </si>
  <si>
    <t xml:space="preserve"> -</t>
  </si>
  <si>
    <t>самовывоз</t>
  </si>
  <si>
    <t>планшет</t>
  </si>
  <si>
    <t xml:space="preserve"> нет</t>
  </si>
  <si>
    <t xml:space="preserve"> </t>
  </si>
  <si>
    <t>Поставщик</t>
  </si>
  <si>
    <t>Роль поставщика</t>
  </si>
  <si>
    <t>КАТЕГОРИЙНЫЙ МЕНЕДЖЕР</t>
  </si>
  <si>
    <t>Таблица условий ВД</t>
  </si>
  <si>
    <t>Строй Парк (Холдинг)</t>
  </si>
  <si>
    <t>Тип бонуса</t>
  </si>
  <si>
    <t>Периодичность (месяц/квартал/полугодие/год)</t>
  </si>
  <si>
    <t>План 2017г.,%</t>
  </si>
  <si>
    <t>ДОГОВОР % вознаграждения</t>
  </si>
  <si>
    <t>Вознаграждение за целевые результаты:</t>
  </si>
  <si>
    <t>Совокупная стоимость отгруженных Покупателям товаров</t>
  </si>
  <si>
    <t>не менее 300 000 руб.</t>
  </si>
  <si>
    <t>год</t>
  </si>
  <si>
    <t>не менее 400 000 руб.</t>
  </si>
  <si>
    <t>не менее 500 000 руб.</t>
  </si>
  <si>
    <t>не менее ___________ руб.</t>
  </si>
  <si>
    <t>Маркетинговые бонус</t>
  </si>
  <si>
    <t>Логистический бонус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</si>
</sst>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9" formatCode="#,##0_р_."/>
    <numFmt numFmtId="170" formatCode="0.0%"/>
    <numFmt numFmtId="177" formatCode="#,##0.0"/>
  </numFmts>
  <fonts count="12" x14ac:knownFonts="1">
    <font>
      <sz val="11"/>
      <color indexed="8"/>
      <name val="Calibri"/>
      <family val="2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indexed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8"/>
      <color rgb="FF000000"/>
      <name val="MS Sans Serif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3" fontId="0" fillId="0" borderId="0" xfId="0" applyNumberFormat="1" applyFont="1" applyAlignment="1">
      <alignment vertical="center" wrapText="1"/>
    </xf>
    <xf numFmtId="10" fontId="0" fillId="0" borderId="0" xfId="0" applyNumberFormat="1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9" fillId="2" borderId="1" xfId="1" applyFont="1" applyFill="1" applyBorder="1" applyAlignment="1">
      <alignment horizontal="center" vertical="center" wrapText="1"/>
    </xf>
    <xf numFmtId="0" fontId="9" fillId="2" borderId="2" xfId="1" applyFont="1" applyFill="1" applyBorder="1" applyAlignment="1">
      <alignment horizontal="center" vertical="center" wrapText="1"/>
    </xf>
    <xf numFmtId="0" fontId="9" fillId="3" borderId="1" xfId="1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 vertical="top" wrapText="1"/>
    </xf>
    <xf numFmtId="0" fontId="4" fillId="3" borderId="3" xfId="2" applyFont="1" applyFill="1" applyBorder="1" applyAlignment="1">
      <alignment horizontal="left" vertical="top" wrapText="1"/>
    </xf>
    <xf numFmtId="0" fontId="10" fillId="0" borderId="4" xfId="0" applyFont="1" applyFill="1" applyBorder="1" applyAlignment="1">
      <alignment horizontal="left" vertical="top" wrapText="1"/>
    </xf>
    <xf numFmtId="0" fontId="1" fillId="0" borderId="0" xfId="0" applyFont="1" applyFill="1" applyAlignment="1">
      <alignment vertical="center" wrapText="1"/>
    </xf>
    <xf numFmtId="0" fontId="0" fillId="0" borderId="0" xfId="0" applyFill="1"/>
    <xf numFmtId="0" fontId="10" fillId="3" borderId="5" xfId="0" applyFont="1" applyFill="1" applyBorder="1" applyAlignment="1">
      <alignment horizontal="left" vertical="top" wrapText="1"/>
    </xf>
    <xf numFmtId="169" fontId="11" fillId="4" borderId="6" xfId="0" applyNumberFormat="1" applyFont="1" applyFill="1" applyBorder="1" applyAlignment="1">
      <alignment horizontal="right" wrapText="1"/>
    </xf>
    <xf numFmtId="169" fontId="11" fillId="4" borderId="7" xfId="0" applyNumberFormat="1" applyFont="1" applyFill="1" applyBorder="1" applyAlignment="1">
      <alignment horizontal="right" wrapText="1"/>
    </xf>
    <xf numFmtId="170" fontId="11" fillId="4" borderId="7" xfId="0" applyNumberFormat="1" applyFont="1" applyFill="1" applyBorder="1" applyAlignment="1">
      <alignment horizontal="right" wrapText="1"/>
    </xf>
    <xf numFmtId="170" fontId="11" fillId="4" borderId="8" xfId="0" applyNumberFormat="1" applyFont="1" applyFill="1" applyBorder="1" applyAlignment="1">
      <alignment horizontal="right" wrapText="1"/>
    </xf>
    <xf numFmtId="0" fontId="4" fillId="3" borderId="9" xfId="0" applyFont="1" applyFill="1" applyBorder="1" applyAlignment="1">
      <alignment horizontal="left" vertical="top" wrapText="1"/>
    </xf>
    <xf numFmtId="3" fontId="1" fillId="0" borderId="7" xfId="0" applyNumberFormat="1" applyFont="1" applyFill="1" applyBorder="1" applyAlignment="1">
      <alignment vertical="center" wrapText="1"/>
    </xf>
    <xf numFmtId="3" fontId="1" fillId="0" borderId="10" xfId="0" applyNumberFormat="1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10" fillId="0" borderId="4" xfId="0" applyFont="1" applyFill="1" applyBorder="1" applyAlignment="1">
      <alignment horizontal="left" vertical="top" wrapText="1"/>
    </xf>
    <xf numFmtId="0" fontId="4" fillId="3" borderId="11" xfId="0" applyFont="1" applyFill="1" applyBorder="1" applyAlignment="1">
      <alignment horizontal="left" vertical="top" wrapText="1"/>
    </xf>
    <xf numFmtId="0" fontId="0" fillId="0" borderId="12" xfId="0" applyBorder="1"/>
    <xf numFmtId="0" fontId="10" fillId="5" borderId="13" xfId="0" applyFont="1" applyFill="1" applyBorder="1" applyAlignment="1">
      <alignment horizontal="left" vertical="top" wrapText="1"/>
    </xf>
    <xf numFmtId="0" fontId="10" fillId="5" borderId="3" xfId="0" applyFont="1" applyFill="1" applyBorder="1" applyAlignment="1">
      <alignment horizontal="left" vertical="top" wrapText="1"/>
    </xf>
    <xf numFmtId="0" fontId="10" fillId="5" borderId="14" xfId="0" applyFont="1" applyFill="1" applyBorder="1" applyAlignment="1">
      <alignment horizontal="left" vertical="top" wrapText="1"/>
    </xf>
    <xf numFmtId="0" fontId="4" fillId="5" borderId="3" xfId="0" applyFont="1" applyFill="1" applyBorder="1" applyAlignment="1">
      <alignment horizontal="left" vertical="top" wrapText="1"/>
    </xf>
    <xf numFmtId="0" fontId="4" fillId="5" borderId="3" xfId="2" applyFont="1" applyFill="1" applyBorder="1" applyAlignment="1">
      <alignment horizontal="left" vertical="top" wrapText="1"/>
    </xf>
    <xf numFmtId="0" fontId="4" fillId="5" borderId="9" xfId="0" applyFont="1" applyFill="1" applyBorder="1" applyAlignment="1">
      <alignment horizontal="left" vertical="top" wrapText="1"/>
    </xf>
    <xf numFmtId="0" fontId="11" fillId="4" borderId="32" xfId="0" applyFont="1" applyFill="1" applyBorder="1" applyAlignment="1">
      <alignment horizontal="right" wrapText="1"/>
    </xf>
    <xf numFmtId="0" fontId="9" fillId="2" borderId="1" xfId="1" applyFont="1" applyFill="1" applyBorder="1" applyAlignment="1">
      <alignment horizontal="center" vertical="center" wrapText="1"/>
    </xf>
    <xf numFmtId="0" fontId="9" fillId="3" borderId="15" xfId="1" applyFont="1" applyFill="1" applyBorder="1" applyAlignment="1">
      <alignment horizontal="center" vertical="center" wrapText="1"/>
    </xf>
    <xf numFmtId="4" fontId="11" fillId="4" borderId="32" xfId="0" applyNumberFormat="1" applyFont="1" applyFill="1" applyBorder="1" applyAlignment="1">
      <alignment horizontal="right" wrapText="1"/>
    </xf>
    <xf numFmtId="0" fontId="10" fillId="3" borderId="5" xfId="0" applyFont="1" applyFill="1" applyBorder="1" applyAlignment="1">
      <alignment horizontal="right" vertical="top" wrapText="1"/>
    </xf>
    <xf numFmtId="0" fontId="10" fillId="5" borderId="12" xfId="0" applyFont="1" applyFill="1" applyBorder="1" applyAlignment="1">
      <alignment horizontal="right" vertical="top" wrapText="1"/>
    </xf>
    <xf numFmtId="4" fontId="10" fillId="5" borderId="16" xfId="0" applyNumberFormat="1" applyFont="1" applyFill="1" applyBorder="1" applyAlignment="1">
      <alignment vertical="top" wrapText="1"/>
    </xf>
    <xf numFmtId="0" fontId="10" fillId="5" borderId="12" xfId="0" applyFont="1" applyFill="1" applyBorder="1" applyAlignment="1">
      <alignment vertical="top" wrapText="1"/>
    </xf>
    <xf numFmtId="4" fontId="10" fillId="5" borderId="12" xfId="0" applyNumberFormat="1" applyFont="1" applyFill="1" applyBorder="1" applyAlignment="1">
      <alignment vertical="top" wrapText="1"/>
    </xf>
    <xf numFmtId="4" fontId="0" fillId="4" borderId="0" xfId="0" applyNumberFormat="1" applyFill="1" applyAlignment="1">
      <alignment horizontal="right"/>
    </xf>
    <xf numFmtId="0" fontId="10" fillId="3" borderId="17" xfId="0" applyFont="1" applyFill="1" applyBorder="1" applyAlignment="1">
      <alignment vertical="top" wrapText="1"/>
    </xf>
    <xf numFmtId="169" fontId="11" fillId="3" borderId="18" xfId="0" applyNumberFormat="1" applyFont="1" applyFill="1" applyBorder="1" applyAlignment="1">
      <alignment horizontal="right" wrapText="1"/>
    </xf>
    <xf numFmtId="4" fontId="11" fillId="4" borderId="33" xfId="0" applyNumberFormat="1" applyFont="1" applyFill="1" applyBorder="1" applyAlignment="1">
      <alignment horizontal="right" wrapText="1"/>
    </xf>
    <xf numFmtId="4" fontId="0" fillId="4" borderId="12" xfId="0" applyNumberFormat="1" applyFill="1" applyBorder="1" applyAlignment="1">
      <alignment horizontal="right"/>
    </xf>
    <xf numFmtId="4" fontId="10" fillId="5" borderId="12" xfId="0" applyNumberFormat="1" applyFont="1" applyFill="1" applyBorder="1" applyAlignment="1">
      <alignment horizontal="right" vertical="top" wrapText="1"/>
    </xf>
    <xf numFmtId="0" fontId="10" fillId="5" borderId="19" xfId="0" applyFont="1" applyFill="1" applyBorder="1" applyAlignment="1">
      <alignment horizontal="right" vertical="top" wrapText="1"/>
    </xf>
    <xf numFmtId="1" fontId="11" fillId="4" borderId="32" xfId="0" applyNumberFormat="1" applyFont="1" applyFill="1" applyBorder="1" applyAlignment="1">
      <alignment horizontal="right" wrapText="1"/>
    </xf>
    <xf numFmtId="1" fontId="10" fillId="5" borderId="12" xfId="0" applyNumberFormat="1" applyFont="1" applyFill="1" applyBorder="1" applyAlignment="1">
      <alignment horizontal="right" vertical="top" wrapText="1"/>
    </xf>
    <xf numFmtId="0" fontId="4" fillId="5" borderId="12" xfId="0" applyFont="1" applyFill="1" applyBorder="1" applyAlignment="1">
      <alignment horizontal="right" vertical="top" wrapText="1"/>
    </xf>
    <xf numFmtId="0" fontId="4" fillId="5" borderId="12" xfId="2" applyFont="1" applyFill="1" applyBorder="1" applyAlignment="1">
      <alignment horizontal="right" vertical="top" wrapText="1"/>
    </xf>
    <xf numFmtId="0" fontId="4" fillId="5" borderId="11" xfId="0" applyFont="1" applyFill="1" applyBorder="1" applyAlignment="1">
      <alignment horizontal="right" vertical="top" wrapText="1"/>
    </xf>
    <xf numFmtId="9" fontId="1" fillId="0" borderId="0" xfId="0" applyNumberFormat="1" applyFont="1" applyAlignment="1">
      <alignment vertical="center" wrapText="1"/>
    </xf>
    <xf numFmtId="0" fontId="9" fillId="6" borderId="0" xfId="1" applyFont="1" applyFill="1" applyBorder="1" applyAlignment="1">
      <alignment horizontal="left" vertical="center" wrapText="1"/>
    </xf>
    <xf numFmtId="3" fontId="4" fillId="0" borderId="13" xfId="0" applyNumberFormat="1" applyFont="1" applyFill="1" applyBorder="1" applyAlignment="1">
      <alignment horizontal="center" vertical="top" wrapText="1"/>
    </xf>
    <xf numFmtId="3" fontId="4" fillId="0" borderId="29" xfId="0" applyNumberFormat="1" applyFont="1" applyFill="1" applyBorder="1" applyAlignment="1">
      <alignment horizontal="center" vertical="top" wrapText="1"/>
    </xf>
    <xf numFmtId="0" fontId="0" fillId="0" borderId="30" xfId="0" applyFont="1" applyBorder="1" applyAlignment="1">
      <alignment vertical="center" wrapText="1"/>
    </xf>
    <xf numFmtId="3" fontId="4" fillId="0" borderId="3" xfId="0" applyNumberFormat="1" applyFont="1" applyFill="1" applyBorder="1" applyAlignment="1">
      <alignment horizontal="left" vertical="top" wrapText="1"/>
    </xf>
    <xf numFmtId="0" fontId="0" fillId="0" borderId="7" xfId="0" applyFont="1" applyBorder="1" applyAlignment="1">
      <alignment vertical="center" wrapText="1"/>
    </xf>
    <xf numFmtId="177" fontId="4" fillId="0" borderId="3" xfId="0" applyNumberFormat="1" applyFont="1" applyFill="1" applyBorder="1" applyAlignment="1">
      <alignment horizontal="left" vertical="top" wrapText="1"/>
    </xf>
    <xf numFmtId="3" fontId="4" fillId="0" borderId="3" xfId="0" applyNumberFormat="1" applyFont="1" applyBorder="1" applyAlignment="1">
      <alignment horizontal="left" vertical="top" wrapText="1"/>
    </xf>
    <xf numFmtId="3" fontId="4" fillId="0" borderId="12" xfId="0" applyNumberFormat="1" applyFont="1" applyBorder="1" applyAlignment="1">
      <alignment horizontal="left" vertical="top" wrapText="1"/>
    </xf>
    <xf numFmtId="0" fontId="0" fillId="0" borderId="12" xfId="0" applyFont="1" applyBorder="1" applyAlignment="1">
      <alignment vertical="center" wrapText="1"/>
    </xf>
    <xf numFmtId="0" fontId="10" fillId="0" borderId="4" xfId="0" applyFont="1" applyFill="1" applyBorder="1" applyAlignment="1">
      <alignment horizontal="left" vertical="top" wrapText="1"/>
    </xf>
    <xf numFmtId="0" fontId="10" fillId="0" borderId="20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left" vertical="center" wrapText="1"/>
    </xf>
    <xf numFmtId="0" fontId="10" fillId="7" borderId="20" xfId="0" applyFont="1" applyFill="1" applyBorder="1" applyAlignment="1">
      <alignment horizontal="left" vertical="center" wrapText="1"/>
    </xf>
    <xf numFmtId="0" fontId="9" fillId="6" borderId="0" xfId="1" applyFont="1" applyFill="1" applyBorder="1" applyAlignment="1">
      <alignment horizontal="left" vertical="center" wrapText="1"/>
    </xf>
    <xf numFmtId="0" fontId="9" fillId="6" borderId="25" xfId="1" applyFont="1" applyFill="1" applyBorder="1" applyAlignment="1">
      <alignment horizontal="left" vertical="center" wrapText="1"/>
    </xf>
    <xf numFmtId="0" fontId="10" fillId="0" borderId="4" xfId="0" applyFont="1" applyFill="1" applyBorder="1" applyAlignment="1">
      <alignment horizontal="left" vertical="top" wrapText="1" indent="6"/>
    </xf>
    <xf numFmtId="0" fontId="10" fillId="0" borderId="20" xfId="0" applyFont="1" applyFill="1" applyBorder="1" applyAlignment="1">
      <alignment horizontal="left" vertical="top" wrapText="1" indent="6"/>
    </xf>
    <xf numFmtId="0" fontId="10" fillId="0" borderId="23" xfId="0" applyFont="1" applyFill="1" applyBorder="1" applyAlignment="1">
      <alignment horizontal="left" vertical="top" wrapText="1"/>
    </xf>
    <xf numFmtId="0" fontId="10" fillId="0" borderId="24" xfId="0" applyFont="1" applyFill="1" applyBorder="1" applyAlignment="1">
      <alignment horizontal="left" vertical="top" wrapText="1"/>
    </xf>
    <xf numFmtId="0" fontId="10" fillId="0" borderId="21" xfId="0" applyFont="1" applyFill="1" applyBorder="1" applyAlignment="1">
      <alignment horizontal="left" vertical="top" wrapText="1"/>
    </xf>
    <xf numFmtId="0" fontId="10" fillId="0" borderId="22" xfId="0" applyFont="1" applyFill="1" applyBorder="1" applyAlignment="1">
      <alignment horizontal="left" vertical="top" wrapText="1"/>
    </xf>
    <xf numFmtId="0" fontId="10" fillId="0" borderId="23" xfId="0" applyFont="1" applyFill="1" applyBorder="1" applyAlignment="1">
      <alignment horizontal="left" vertical="center" wrapText="1"/>
    </xf>
    <xf numFmtId="0" fontId="10" fillId="0" borderId="24" xfId="0" applyFont="1" applyFill="1" applyBorder="1" applyAlignment="1">
      <alignment horizontal="left" vertical="center" wrapText="1"/>
    </xf>
    <xf numFmtId="0" fontId="10" fillId="0" borderId="4" xfId="0" applyFont="1" applyFill="1" applyBorder="1" applyAlignment="1">
      <alignment horizontal="left" vertical="center" wrapText="1"/>
    </xf>
    <xf numFmtId="0" fontId="10" fillId="0" borderId="20" xfId="0" applyFont="1" applyFill="1" applyBorder="1" applyAlignment="1">
      <alignment horizontal="left" vertical="center" wrapText="1"/>
    </xf>
    <xf numFmtId="0" fontId="10" fillId="0" borderId="4" xfId="0" applyFont="1" applyFill="1" applyBorder="1" applyAlignment="1">
      <alignment horizontal="left" vertical="top"/>
    </xf>
    <xf numFmtId="0" fontId="10" fillId="0" borderId="20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left" vertical="top" indent="5"/>
    </xf>
    <xf numFmtId="0" fontId="10" fillId="0" borderId="20" xfId="0" applyFont="1" applyFill="1" applyBorder="1" applyAlignment="1">
      <alignment horizontal="left" vertical="top" indent="5"/>
    </xf>
    <xf numFmtId="0" fontId="10" fillId="0" borderId="21" xfId="0" applyFont="1" applyFill="1" applyBorder="1" applyAlignment="1">
      <alignment horizontal="left" vertical="top"/>
    </xf>
    <xf numFmtId="0" fontId="10" fillId="0" borderId="22" xfId="0" applyFont="1" applyFill="1" applyBorder="1" applyAlignment="1">
      <alignment horizontal="left" vertical="top"/>
    </xf>
    <xf numFmtId="0" fontId="5" fillId="0" borderId="4" xfId="0" applyFont="1" applyFill="1" applyBorder="1" applyAlignment="1">
      <alignment horizontal="left" vertical="top"/>
    </xf>
    <xf numFmtId="0" fontId="5" fillId="0" borderId="20" xfId="0" applyFont="1" applyFill="1" applyBorder="1" applyAlignment="1">
      <alignment horizontal="left" vertical="top"/>
    </xf>
    <xf numFmtId="0" fontId="4" fillId="0" borderId="12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center" vertical="top" wrapText="1"/>
    </xf>
    <xf numFmtId="0" fontId="9" fillId="6" borderId="0" xfId="1" applyFont="1" applyFill="1" applyBorder="1" applyAlignment="1">
      <alignment horizontal="left" vertical="center"/>
    </xf>
    <xf numFmtId="0" fontId="9" fillId="6" borderId="25" xfId="1" applyFont="1" applyFill="1" applyBorder="1" applyAlignment="1">
      <alignment horizontal="left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9" fillId="2" borderId="1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top" wrapText="1"/>
    </xf>
  </cellXfs>
  <cellStyles count="3">
    <cellStyle name="Обычный" xfId="0" builtinId="0"/>
    <cellStyle name="Обычный 3" xfId="1"/>
    <cellStyle name="Обычный 8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4</xdr:row>
          <xdr:rowOff>57150</xdr:rowOff>
        </xdr:from>
        <xdr:to>
          <xdr:col>6</xdr:col>
          <xdr:colOff>600075</xdr:colOff>
          <xdr:row>7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</xdr:row>
          <xdr:rowOff>47625</xdr:rowOff>
        </xdr:from>
        <xdr:to>
          <xdr:col>12</xdr:col>
          <xdr:colOff>142875</xdr:colOff>
          <xdr:row>7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Синхронизировать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tabSelected="1" workbookViewId="0">
      <selection activeCell="K11" sqref="K11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2</xdr:col>
                    <xdr:colOff>295275</xdr:colOff>
                    <xdr:row>4</xdr:row>
                    <xdr:rowOff>57150</xdr:rowOff>
                  </from>
                  <to>
                    <xdr:col>6</xdr:col>
                    <xdr:colOff>600075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Кнопка1_Щелчок">
                <anchor moveWithCells="1" sizeWithCells="1">
                  <from>
                    <xdr:col>7</xdr:col>
                    <xdr:colOff>447675</xdr:colOff>
                    <xdr:row>4</xdr:row>
                    <xdr:rowOff>47625</xdr:rowOff>
                  </from>
                  <to>
                    <xdr:col>12</xdr:col>
                    <xdr:colOff>142875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IM58"/>
  <sheetViews>
    <sheetView workbookViewId="0">
      <pane ySplit="1" topLeftCell="A2" activePane="bottomLeft" state="frozen"/>
      <selection pane="bottomLeft" activeCell="C39" sqref="C39"/>
    </sheetView>
  </sheetViews>
  <sheetFormatPr defaultRowHeight="15" outlineLevelRow="2" x14ac:dyDescent="0.25"/>
  <cols>
    <col min="6" max="6" width="11.140625" customWidth="1"/>
    <col min="7" max="7" width="26.42578125" style="7" customWidth="1"/>
    <col min="8" max="8" width="19" style="7" customWidth="1"/>
    <col min="9" max="9" width="34.85546875" style="7" customWidth="1"/>
    <col min="10" max="10" width="16.85546875" style="7" customWidth="1"/>
    <col min="11" max="11" width="10.5703125" style="7" customWidth="1"/>
    <col min="12" max="12" width="12.140625" style="7" customWidth="1"/>
    <col min="13" max="13" width="12" style="7" customWidth="1"/>
    <col min="14" max="16" width="9.42578125" style="7" customWidth="1"/>
    <col min="17" max="17" width="15.140625" style="1" customWidth="1"/>
    <col min="18" max="247" width="9.140625" style="1" customWidth="1"/>
  </cols>
  <sheetData>
    <row r="1" spans="1:247" ht="51.75" thickBot="1" x14ac:dyDescent="0.3">
      <c r="A1" s="57" t="s">
        <v>15</v>
      </c>
      <c r="B1" s="57" t="s">
        <v>69</v>
      </c>
      <c r="C1" s="57" t="s">
        <v>70</v>
      </c>
      <c r="D1" s="57" t="s">
        <v>14</v>
      </c>
      <c r="E1" s="57" t="s">
        <v>71</v>
      </c>
      <c r="F1" s="71" t="s">
        <v>28</v>
      </c>
      <c r="G1" s="71"/>
      <c r="H1" s="71"/>
      <c r="I1" s="71"/>
      <c r="J1" s="72"/>
      <c r="K1" s="10" t="s">
        <v>21</v>
      </c>
      <c r="L1" s="10" t="s">
        <v>49</v>
      </c>
      <c r="M1" s="8" t="s">
        <v>20</v>
      </c>
      <c r="N1" s="8" t="s">
        <v>50</v>
      </c>
      <c r="O1" s="8" t="s">
        <v>51</v>
      </c>
      <c r="P1" s="8" t="s">
        <v>52</v>
      </c>
      <c r="Q1" s="9" t="s">
        <v>0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</row>
    <row r="2" spans="1:247" x14ac:dyDescent="0.25">
      <c r="F2" s="28" t="s">
        <v>38</v>
      </c>
      <c r="G2" s="75" t="s">
        <v>5</v>
      </c>
      <c r="H2" s="75"/>
      <c r="I2" s="75"/>
      <c r="J2" s="76"/>
      <c r="K2" s="38">
        <v>4125302.7114178198</v>
      </c>
      <c r="L2" s="44">
        <v>4834848.3134994153</v>
      </c>
      <c r="M2" s="41">
        <f>M9/(M11/100+1)</f>
        <v>6055059.4531094097</v>
      </c>
      <c r="N2" s="29"/>
      <c r="O2" s="29"/>
      <c r="P2" s="29"/>
      <c r="Q2" s="18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</row>
    <row r="3" spans="1:247" ht="15" customHeight="1" x14ac:dyDescent="0.25">
      <c r="F3" s="28" t="s">
        <v>38</v>
      </c>
      <c r="G3" s="67" t="s">
        <v>22</v>
      </c>
      <c r="H3" s="67"/>
      <c r="I3" s="67"/>
      <c r="J3" s="68"/>
      <c r="K3" s="35">
        <v>170</v>
      </c>
      <c r="L3" s="35">
        <v>141</v>
      </c>
      <c r="M3" s="42">
        <v>150</v>
      </c>
      <c r="N3" s="30"/>
      <c r="O3" s="30"/>
      <c r="P3" s="30"/>
      <c r="Q3" s="19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</row>
    <row r="4" spans="1:247" x14ac:dyDescent="0.25">
      <c r="F4" s="28" t="s">
        <v>38</v>
      </c>
      <c r="G4" s="67" t="s">
        <v>2</v>
      </c>
      <c r="H4" s="67"/>
      <c r="I4" s="67"/>
      <c r="J4" s="68"/>
      <c r="K4" s="38">
        <v>668340.29076712404</v>
      </c>
      <c r="L4" s="38">
        <v>822542.67666666699</v>
      </c>
      <c r="M4" s="43">
        <f>M5*(M2/365)</f>
        <v>663568.15924486681</v>
      </c>
      <c r="N4" s="30"/>
      <c r="O4" s="30"/>
      <c r="P4" s="30"/>
      <c r="Q4" s="19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</row>
    <row r="5" spans="1:247" x14ac:dyDescent="0.25">
      <c r="F5" s="28" t="s">
        <v>38</v>
      </c>
      <c r="G5" s="67" t="s">
        <v>3</v>
      </c>
      <c r="H5" s="67"/>
      <c r="I5" s="67"/>
      <c r="J5" s="68"/>
      <c r="K5" s="38">
        <v>50.577415219545003</v>
      </c>
      <c r="L5" s="38">
        <v>40.757542808204697</v>
      </c>
      <c r="M5" s="42">
        <v>40</v>
      </c>
      <c r="N5" s="30"/>
      <c r="O5" s="30"/>
      <c r="P5" s="30"/>
      <c r="Q5" s="19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</row>
    <row r="6" spans="1:247" ht="15.75" customHeight="1" x14ac:dyDescent="0.25">
      <c r="F6" s="28" t="s">
        <v>39</v>
      </c>
      <c r="G6" s="67" t="s">
        <v>8</v>
      </c>
      <c r="H6" s="67"/>
      <c r="I6" s="67"/>
      <c r="J6" s="68"/>
      <c r="K6" s="35" t="s">
        <v>56</v>
      </c>
      <c r="L6" s="35" t="s">
        <v>57</v>
      </c>
      <c r="M6" s="42">
        <v>95</v>
      </c>
      <c r="N6" s="30"/>
      <c r="O6" s="30"/>
      <c r="P6" s="30"/>
      <c r="Q6" s="19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</row>
    <row r="7" spans="1:247" ht="15.75" customHeight="1" thickBot="1" x14ac:dyDescent="0.3">
      <c r="F7" s="28" t="s">
        <v>40</v>
      </c>
      <c r="G7" s="77" t="s">
        <v>13</v>
      </c>
      <c r="H7" s="77"/>
      <c r="I7" s="77"/>
      <c r="J7" s="78"/>
      <c r="K7" s="39"/>
      <c r="L7" s="39">
        <v>8</v>
      </c>
      <c r="M7" s="45">
        <v>0</v>
      </c>
      <c r="N7" s="17"/>
      <c r="O7" s="17"/>
      <c r="P7" s="17"/>
      <c r="Q7" s="4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</row>
    <row r="8" spans="1:247" s="16" customFormat="1" ht="32.25" customHeight="1" outlineLevel="2" thickBot="1" x14ac:dyDescent="0.3">
      <c r="F8" s="71" t="s">
        <v>29</v>
      </c>
      <c r="G8" s="71"/>
      <c r="H8" s="71"/>
      <c r="I8" s="71"/>
      <c r="J8" s="72"/>
      <c r="K8" s="10" t="s">
        <v>21</v>
      </c>
      <c r="L8" s="37" t="s">
        <v>49</v>
      </c>
      <c r="M8" s="8" t="s">
        <v>20</v>
      </c>
      <c r="N8" s="8" t="s">
        <v>50</v>
      </c>
      <c r="O8" s="8" t="s">
        <v>51</v>
      </c>
      <c r="P8" s="8" t="s">
        <v>52</v>
      </c>
      <c r="Q8" s="9" t="s">
        <v>0</v>
      </c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</row>
    <row r="9" spans="1:247" ht="15.75" customHeight="1" outlineLevel="2" x14ac:dyDescent="0.25">
      <c r="F9" s="28" t="s">
        <v>38</v>
      </c>
      <c r="G9" s="26" t="s">
        <v>23</v>
      </c>
      <c r="H9" s="14"/>
      <c r="I9" s="14"/>
      <c r="J9" s="14"/>
      <c r="K9" s="47">
        <v>7132378.4289571904</v>
      </c>
      <c r="L9" s="48">
        <v>8670845.1368526742</v>
      </c>
      <c r="M9" s="49">
        <f>L9+(L9*0.25)</f>
        <v>10838556.421065843</v>
      </c>
      <c r="N9" s="30"/>
      <c r="O9" s="30"/>
      <c r="P9" s="30"/>
      <c r="Q9" s="19"/>
      <c r="R9" s="56">
        <v>0.25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</row>
    <row r="10" spans="1:247" outlineLevel="2" x14ac:dyDescent="0.25">
      <c r="F10" s="28" t="s">
        <v>38</v>
      </c>
      <c r="G10" s="67" t="s">
        <v>1</v>
      </c>
      <c r="H10" s="67"/>
      <c r="I10" s="67"/>
      <c r="J10" s="68"/>
      <c r="K10" s="38">
        <v>3007075.7175393798</v>
      </c>
      <c r="L10" s="44">
        <v>3835996.8233532598</v>
      </c>
      <c r="M10" s="49">
        <f>M9-M2</f>
        <v>4783496.9679564331</v>
      </c>
      <c r="N10" s="30"/>
      <c r="O10" s="30"/>
      <c r="P10" s="30"/>
      <c r="Q10" s="19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</row>
    <row r="11" spans="1:247" outlineLevel="2" x14ac:dyDescent="0.25">
      <c r="F11" s="28" t="s">
        <v>38</v>
      </c>
      <c r="G11" s="67" t="s">
        <v>6</v>
      </c>
      <c r="H11" s="67"/>
      <c r="I11" s="67"/>
      <c r="J11" s="68"/>
      <c r="K11" s="51">
        <v>72.893456017579794</v>
      </c>
      <c r="L11" s="51">
        <v>79.340582674387804</v>
      </c>
      <c r="M11" s="40">
        <v>79</v>
      </c>
      <c r="N11" s="30"/>
      <c r="O11" s="30"/>
      <c r="P11" s="30"/>
      <c r="Q11" s="20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</row>
    <row r="12" spans="1:247" ht="15" customHeight="1" outlineLevel="2" x14ac:dyDescent="0.25">
      <c r="F12" s="28" t="s">
        <v>38</v>
      </c>
      <c r="G12" s="67" t="s">
        <v>4</v>
      </c>
      <c r="H12" s="67"/>
      <c r="I12" s="67"/>
      <c r="J12" s="68"/>
      <c r="K12" s="35">
        <v>1.1004357849109001</v>
      </c>
      <c r="L12" s="35">
        <v>1.1874031650647401</v>
      </c>
      <c r="M12" s="40">
        <v>1.18</v>
      </c>
      <c r="N12" s="30"/>
      <c r="O12" s="30"/>
      <c r="P12" s="30"/>
      <c r="Q12" s="20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</row>
    <row r="13" spans="1:247" outlineLevel="2" x14ac:dyDescent="0.25">
      <c r="F13" s="28" t="s">
        <v>41</v>
      </c>
      <c r="G13" s="26" t="s">
        <v>7</v>
      </c>
      <c r="H13" s="14"/>
      <c r="I13" s="14"/>
      <c r="J13" s="14"/>
      <c r="K13" s="35"/>
      <c r="L13" s="51">
        <v>120494.498723789</v>
      </c>
      <c r="M13" s="52">
        <f>M4*0.12</f>
        <v>79628.179109384015</v>
      </c>
      <c r="N13" s="30"/>
      <c r="O13" s="30"/>
      <c r="P13" s="30"/>
      <c r="Q13" s="20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</row>
    <row r="14" spans="1:247" ht="15" customHeight="1" outlineLevel="2" x14ac:dyDescent="0.25">
      <c r="F14" s="28" t="s">
        <v>41</v>
      </c>
      <c r="G14" s="67" t="s">
        <v>32</v>
      </c>
      <c r="H14" s="67"/>
      <c r="I14" s="67"/>
      <c r="J14" s="68"/>
      <c r="K14" s="35"/>
      <c r="L14" s="35">
        <v>14.746937911192401</v>
      </c>
      <c r="M14" s="40">
        <v>12</v>
      </c>
      <c r="N14" s="30"/>
      <c r="O14" s="30"/>
      <c r="P14" s="30"/>
      <c r="Q14" s="20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</row>
    <row r="15" spans="1:247" ht="15.75" customHeight="1" outlineLevel="2" thickBot="1" x14ac:dyDescent="0.3">
      <c r="F15" s="28" t="s">
        <v>38</v>
      </c>
      <c r="G15" s="77" t="s">
        <v>33</v>
      </c>
      <c r="H15" s="77"/>
      <c r="I15" s="77"/>
      <c r="J15" s="78"/>
      <c r="K15" s="35">
        <v>0.692008475484028</v>
      </c>
      <c r="L15" s="35">
        <v>1.54572615666413</v>
      </c>
      <c r="M15" s="50">
        <f>M17/M5</f>
        <v>2</v>
      </c>
      <c r="N15" s="31"/>
      <c r="O15" s="31"/>
      <c r="P15" s="31"/>
      <c r="Q15" s="2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</row>
    <row r="16" spans="1:247" s="16" customFormat="1" ht="31.5" customHeight="1" outlineLevel="1" thickBot="1" x14ac:dyDescent="0.3">
      <c r="F16" s="71" t="s">
        <v>30</v>
      </c>
      <c r="G16" s="71"/>
      <c r="H16" s="71"/>
      <c r="I16" s="71"/>
      <c r="J16" s="72"/>
      <c r="K16" s="10" t="s">
        <v>21</v>
      </c>
      <c r="L16" s="10" t="s">
        <v>49</v>
      </c>
      <c r="M16" s="8" t="s">
        <v>20</v>
      </c>
      <c r="N16" s="8" t="s">
        <v>50</v>
      </c>
      <c r="O16" s="8" t="s">
        <v>51</v>
      </c>
      <c r="P16" s="8" t="s">
        <v>52</v>
      </c>
      <c r="Q16" s="9" t="s">
        <v>0</v>
      </c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</row>
    <row r="17" spans="2:247" ht="15" customHeight="1" outlineLevel="1" x14ac:dyDescent="0.25">
      <c r="F17" s="28" t="s">
        <v>41</v>
      </c>
      <c r="G17" s="79" t="s">
        <v>34</v>
      </c>
      <c r="H17" s="79"/>
      <c r="I17" s="79"/>
      <c r="J17" s="80"/>
      <c r="K17" s="35">
        <v>35</v>
      </c>
      <c r="L17" s="35">
        <v>45</v>
      </c>
      <c r="M17" s="40">
        <v>80</v>
      </c>
      <c r="N17" s="30"/>
      <c r="O17" s="30"/>
      <c r="P17" s="30"/>
      <c r="Q17" s="23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</row>
    <row r="18" spans="2:247" ht="15" customHeight="1" outlineLevel="1" x14ac:dyDescent="0.25">
      <c r="F18" s="28" t="s">
        <v>41</v>
      </c>
      <c r="G18" s="67" t="s">
        <v>35</v>
      </c>
      <c r="H18" s="67"/>
      <c r="I18" s="67"/>
      <c r="J18" s="68"/>
      <c r="K18" s="35" t="s">
        <v>55</v>
      </c>
      <c r="L18" s="35" t="s">
        <v>53</v>
      </c>
      <c r="M18" s="40" t="s">
        <v>61</v>
      </c>
      <c r="N18" s="30"/>
      <c r="O18" s="30"/>
      <c r="P18" s="30"/>
      <c r="Q18" s="23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</row>
    <row r="19" spans="2:247" ht="15" customHeight="1" outlineLevel="1" x14ac:dyDescent="0.25">
      <c r="F19" s="28" t="s">
        <v>41</v>
      </c>
      <c r="G19" s="67" t="s">
        <v>25</v>
      </c>
      <c r="H19" s="67"/>
      <c r="I19" s="67"/>
      <c r="J19" s="68"/>
      <c r="K19" s="35" t="s">
        <v>54</v>
      </c>
      <c r="L19" s="35" t="s">
        <v>54</v>
      </c>
      <c r="M19" s="40" t="s">
        <v>62</v>
      </c>
      <c r="N19" s="30"/>
      <c r="O19" s="30"/>
      <c r="P19" s="30"/>
      <c r="Q19" s="23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</row>
    <row r="20" spans="2:247" outlineLevel="1" x14ac:dyDescent="0.25">
      <c r="F20" s="28" t="s">
        <v>41</v>
      </c>
      <c r="G20" s="81" t="s">
        <v>27</v>
      </c>
      <c r="H20" s="81"/>
      <c r="I20" s="81"/>
      <c r="J20" s="82"/>
      <c r="K20" s="35"/>
      <c r="L20" s="35"/>
      <c r="M20" s="40" t="s">
        <v>63</v>
      </c>
      <c r="N20" s="30"/>
      <c r="O20" s="30"/>
      <c r="P20" s="30"/>
      <c r="Q20" s="23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</row>
    <row r="21" spans="2:247" outlineLevel="1" x14ac:dyDescent="0.25">
      <c r="B21" s="57"/>
      <c r="F21" s="28" t="s">
        <v>41</v>
      </c>
      <c r="G21" s="81" t="s">
        <v>47</v>
      </c>
      <c r="H21" s="81"/>
      <c r="I21" s="81"/>
      <c r="J21" s="82"/>
      <c r="K21" s="11"/>
      <c r="L21" s="11"/>
      <c r="M21" s="40" t="s">
        <v>59</v>
      </c>
      <c r="N21" s="30"/>
      <c r="O21" s="30"/>
      <c r="P21" s="30"/>
      <c r="Q21" s="23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</row>
    <row r="22" spans="2:247" outlineLevel="1" x14ac:dyDescent="0.25">
      <c r="F22" s="28"/>
      <c r="G22" s="69" t="s">
        <v>24</v>
      </c>
      <c r="H22" s="69"/>
      <c r="I22" s="69"/>
      <c r="J22" s="70"/>
      <c r="K22" s="11"/>
      <c r="L22" s="11"/>
      <c r="M22" s="40" t="s">
        <v>64</v>
      </c>
      <c r="N22" s="30"/>
      <c r="O22" s="30"/>
      <c r="P22" s="30"/>
      <c r="Q22" s="23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</row>
    <row r="23" spans="2:247" ht="15.75" customHeight="1" outlineLevel="1" x14ac:dyDescent="0.25">
      <c r="F23" s="28" t="s">
        <v>41</v>
      </c>
      <c r="G23" s="67" t="s">
        <v>16</v>
      </c>
      <c r="H23" s="67"/>
      <c r="I23" s="67"/>
      <c r="J23" s="68"/>
      <c r="K23" s="12"/>
      <c r="L23" s="12"/>
      <c r="M23" s="53" t="s">
        <v>60</v>
      </c>
      <c r="N23" s="32"/>
      <c r="O23" s="32"/>
      <c r="P23" s="32"/>
      <c r="Q23" s="23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</row>
    <row r="24" spans="2:247" outlineLevel="1" x14ac:dyDescent="0.25">
      <c r="F24" s="28" t="s">
        <v>41</v>
      </c>
      <c r="G24" s="67" t="s">
        <v>12</v>
      </c>
      <c r="H24" s="67"/>
      <c r="I24" s="67"/>
      <c r="J24" s="68"/>
      <c r="K24" s="13"/>
      <c r="L24" s="13"/>
      <c r="M24" s="54" t="s">
        <v>65</v>
      </c>
      <c r="N24" s="33"/>
      <c r="O24" s="33"/>
      <c r="P24" s="33"/>
      <c r="Q24" s="23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</row>
    <row r="25" spans="2:247" outlineLevel="1" x14ac:dyDescent="0.25">
      <c r="F25" s="28" t="s">
        <v>41</v>
      </c>
      <c r="G25" s="67" t="s">
        <v>9</v>
      </c>
      <c r="H25" s="67"/>
      <c r="I25" s="67"/>
      <c r="J25" s="68"/>
      <c r="K25" s="12"/>
      <c r="L25" s="12"/>
      <c r="M25" s="53">
        <v>90</v>
      </c>
      <c r="N25" s="32"/>
      <c r="O25" s="32"/>
      <c r="P25" s="32"/>
      <c r="Q25" s="23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</row>
    <row r="26" spans="2:247" outlineLevel="1" x14ac:dyDescent="0.25">
      <c r="B26" s="57"/>
      <c r="F26" s="28" t="s">
        <v>41</v>
      </c>
      <c r="G26" s="67" t="s">
        <v>10</v>
      </c>
      <c r="H26" s="67"/>
      <c r="I26" s="67"/>
      <c r="J26" s="68"/>
      <c r="K26" s="12"/>
      <c r="L26" s="12"/>
      <c r="M26" s="53" t="s">
        <v>60</v>
      </c>
      <c r="N26" s="32"/>
      <c r="O26" s="32"/>
      <c r="P26" s="32"/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</row>
    <row r="27" spans="2:247" outlineLevel="1" x14ac:dyDescent="0.25">
      <c r="F27" s="28" t="s">
        <v>41</v>
      </c>
      <c r="G27" s="67" t="s">
        <v>11</v>
      </c>
      <c r="H27" s="67"/>
      <c r="I27" s="67"/>
      <c r="J27" s="68"/>
      <c r="K27" s="12"/>
      <c r="L27" s="12"/>
      <c r="M27" s="53">
        <v>1</v>
      </c>
      <c r="N27" s="32"/>
      <c r="O27" s="32"/>
      <c r="P27" s="32"/>
      <c r="Q27" s="23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</row>
    <row r="28" spans="2:247" ht="15" customHeight="1" outlineLevel="1" x14ac:dyDescent="0.25">
      <c r="F28" s="28" t="s">
        <v>41</v>
      </c>
      <c r="G28" s="67" t="s">
        <v>17</v>
      </c>
      <c r="H28" s="67"/>
      <c r="I28" s="67"/>
      <c r="J28" s="68"/>
      <c r="K28" s="12"/>
      <c r="L28" s="12"/>
      <c r="M28" s="53" t="s">
        <v>59</v>
      </c>
      <c r="N28" s="32"/>
      <c r="O28" s="32"/>
      <c r="P28" s="32"/>
      <c r="Q28" s="23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</row>
    <row r="29" spans="2:247" ht="15" customHeight="1" outlineLevel="1" x14ac:dyDescent="0.25">
      <c r="F29" s="28" t="s">
        <v>41</v>
      </c>
      <c r="G29" s="67" t="s">
        <v>46</v>
      </c>
      <c r="H29" s="67"/>
      <c r="I29" s="67"/>
      <c r="J29" s="68"/>
      <c r="K29" s="22"/>
      <c r="L29" s="22"/>
      <c r="M29" s="55" t="s">
        <v>60</v>
      </c>
      <c r="N29" s="34"/>
      <c r="O29" s="34"/>
      <c r="P29" s="34"/>
      <c r="Q29" s="24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</row>
    <row r="30" spans="2:247" ht="15" customHeight="1" outlineLevel="1" x14ac:dyDescent="0.25">
      <c r="F30" s="28" t="s">
        <v>41</v>
      </c>
      <c r="G30" s="67" t="s">
        <v>31</v>
      </c>
      <c r="H30" s="67"/>
      <c r="I30" s="67"/>
      <c r="J30" s="68"/>
      <c r="K30" s="12"/>
      <c r="L30" s="12"/>
      <c r="M30" s="53" t="s">
        <v>68</v>
      </c>
      <c r="N30" s="32"/>
      <c r="O30" s="32"/>
      <c r="P30" s="32"/>
      <c r="Q30" s="23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</row>
    <row r="31" spans="2:247" ht="15" customHeight="1" outlineLevel="1" x14ac:dyDescent="0.25">
      <c r="F31" s="28"/>
      <c r="G31" s="73" t="s">
        <v>42</v>
      </c>
      <c r="H31" s="73"/>
      <c r="I31" s="73"/>
      <c r="J31" s="74"/>
      <c r="K31" s="12"/>
      <c r="L31" s="12"/>
      <c r="M31" s="53" t="s">
        <v>66</v>
      </c>
      <c r="N31" s="32"/>
      <c r="O31" s="32"/>
      <c r="P31" s="32"/>
      <c r="Q31" s="23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</row>
    <row r="32" spans="2:247" ht="15" customHeight="1" outlineLevel="1" x14ac:dyDescent="0.25">
      <c r="F32" s="28"/>
      <c r="G32" s="73" t="s">
        <v>43</v>
      </c>
      <c r="H32" s="73"/>
      <c r="I32" s="73"/>
      <c r="J32" s="74"/>
      <c r="K32" s="12"/>
      <c r="L32" s="12"/>
      <c r="M32" s="53" t="s">
        <v>67</v>
      </c>
      <c r="N32" s="32"/>
      <c r="O32" s="32"/>
      <c r="P32" s="32"/>
      <c r="Q32" s="23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</row>
    <row r="33" spans="6:247" ht="15" customHeight="1" outlineLevel="1" x14ac:dyDescent="0.25">
      <c r="F33" s="28"/>
      <c r="G33" s="73" t="s">
        <v>44</v>
      </c>
      <c r="H33" s="73"/>
      <c r="I33" s="73"/>
      <c r="J33" s="74"/>
      <c r="K33" s="12"/>
      <c r="L33" s="12"/>
      <c r="M33" s="53" t="s">
        <v>59</v>
      </c>
      <c r="N33" s="32"/>
      <c r="O33" s="32"/>
      <c r="P33" s="32"/>
      <c r="Q33" s="23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</row>
    <row r="34" spans="6:247" ht="15" customHeight="1" outlineLevel="1" x14ac:dyDescent="0.25">
      <c r="F34" s="28" t="s">
        <v>41</v>
      </c>
      <c r="G34" s="67" t="s">
        <v>18</v>
      </c>
      <c r="H34" s="67"/>
      <c r="I34" s="67"/>
      <c r="J34" s="68"/>
      <c r="K34" s="22"/>
      <c r="L34" s="22"/>
      <c r="M34" s="55" t="s">
        <v>59</v>
      </c>
      <c r="N34" s="34"/>
      <c r="O34" s="34"/>
      <c r="P34" s="34"/>
      <c r="Q34" s="24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</row>
    <row r="35" spans="6:247" ht="15.75" customHeight="1" outlineLevel="1" x14ac:dyDescent="0.25">
      <c r="F35" s="28" t="s">
        <v>41</v>
      </c>
      <c r="G35" s="67" t="s">
        <v>19</v>
      </c>
      <c r="H35" s="67"/>
      <c r="I35" s="67"/>
      <c r="J35" s="68"/>
      <c r="K35" s="27"/>
      <c r="L35" s="27"/>
      <c r="M35" s="53" t="s">
        <v>59</v>
      </c>
      <c r="N35" s="32"/>
      <c r="O35" s="32"/>
      <c r="P35" s="32"/>
      <c r="Q35" s="23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</row>
    <row r="36" spans="6:247" x14ac:dyDescent="0.25">
      <c r="G36" s="7">
        <v>5</v>
      </c>
      <c r="Q36" s="2"/>
      <c r="R36" s="2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</row>
    <row r="37" spans="6:247" x14ac:dyDescent="0.25">
      <c r="Q37" s="2"/>
      <c r="R37" s="2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</row>
    <row r="38" spans="6:247" x14ac:dyDescent="0.25">
      <c r="Q38" s="2"/>
      <c r="R38" s="2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</row>
    <row r="39" spans="6:247" x14ac:dyDescent="0.25">
      <c r="Q39" s="2"/>
      <c r="R39" s="25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</row>
    <row r="40" spans="6:247" x14ac:dyDescent="0.25">
      <c r="Q40" s="2"/>
      <c r="R40" s="25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</row>
    <row r="41" spans="6:247" x14ac:dyDescent="0.25">
      <c r="Q41" s="2"/>
      <c r="R41" s="25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</row>
    <row r="42" spans="6:247" x14ac:dyDescent="0.25">
      <c r="Q42" s="2"/>
      <c r="R42" s="25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</row>
    <row r="43" spans="6:247" x14ac:dyDescent="0.25">
      <c r="Q43" s="2"/>
      <c r="R43" s="25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</row>
    <row r="44" spans="6:247" x14ac:dyDescent="0.25">
      <c r="Q44" s="2"/>
      <c r="R44" s="25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</row>
    <row r="45" spans="6:247" x14ac:dyDescent="0.25">
      <c r="Q45" s="2"/>
      <c r="R45" s="25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</row>
    <row r="46" spans="6:247" x14ac:dyDescent="0.25">
      <c r="Q46" s="2"/>
      <c r="R46" s="25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</row>
    <row r="47" spans="6:247" x14ac:dyDescent="0.25">
      <c r="Q47" s="2"/>
      <c r="R47" s="25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</row>
    <row r="48" spans="6:247" x14ac:dyDescent="0.25">
      <c r="Q48" s="2"/>
      <c r="R48" s="25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</row>
    <row r="49" spans="17:247" x14ac:dyDescent="0.25">
      <c r="Q49" s="2"/>
      <c r="R49" s="25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</row>
    <row r="50" spans="17:247" x14ac:dyDescent="0.25">
      <c r="Q50" s="2"/>
      <c r="R50" s="25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</row>
    <row r="51" spans="17:247" x14ac:dyDescent="0.25">
      <c r="Q51" s="2"/>
      <c r="R51" s="25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</row>
    <row r="52" spans="17:247" x14ac:dyDescent="0.25">
      <c r="Q52" s="2"/>
      <c r="R52" s="25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</row>
    <row r="53" spans="17:247" x14ac:dyDescent="0.25">
      <c r="Q53" s="2"/>
      <c r="R53" s="25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</row>
    <row r="54" spans="17:247" x14ac:dyDescent="0.25">
      <c r="Q54" s="2"/>
      <c r="R54" s="25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</row>
    <row r="55" spans="17:247" x14ac:dyDescent="0.25">
      <c r="Q55" s="2"/>
      <c r="R55" s="25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</row>
    <row r="56" spans="17:247" x14ac:dyDescent="0.25">
      <c r="Q56" s="2"/>
      <c r="R56" s="25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</row>
    <row r="57" spans="17:247" x14ac:dyDescent="0.25"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</row>
    <row r="58" spans="17:247" x14ac:dyDescent="0.25"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</row>
  </sheetData>
  <autoFilter ref="F1:R36">
    <filterColumn colId="0" showButton="0"/>
    <filterColumn colId="1" showButton="0"/>
    <filterColumn colId="2" showButton="0"/>
    <filterColumn colId="3" showButton="0"/>
  </autoFilter>
  <mergeCells count="33">
    <mergeCell ref="G4:J4"/>
    <mergeCell ref="G5:J5"/>
    <mergeCell ref="G14:J14"/>
    <mergeCell ref="G32:J32"/>
    <mergeCell ref="G27:J27"/>
    <mergeCell ref="G23:J23"/>
    <mergeCell ref="G18:J18"/>
    <mergeCell ref="G35:J35"/>
    <mergeCell ref="G25:J25"/>
    <mergeCell ref="G19:J19"/>
    <mergeCell ref="G21:J21"/>
    <mergeCell ref="G24:J24"/>
    <mergeCell ref="G26:J26"/>
    <mergeCell ref="G30:J30"/>
    <mergeCell ref="G31:J31"/>
    <mergeCell ref="G33:J33"/>
    <mergeCell ref="G2:J2"/>
    <mergeCell ref="G12:J12"/>
    <mergeCell ref="G7:J7"/>
    <mergeCell ref="G17:J17"/>
    <mergeCell ref="G20:J20"/>
    <mergeCell ref="G15:J15"/>
    <mergeCell ref="G6:J6"/>
    <mergeCell ref="G28:J28"/>
    <mergeCell ref="G22:J22"/>
    <mergeCell ref="G10:J10"/>
    <mergeCell ref="G11:J11"/>
    <mergeCell ref="G34:J34"/>
    <mergeCell ref="F1:J1"/>
    <mergeCell ref="F8:J8"/>
    <mergeCell ref="F16:J16"/>
    <mergeCell ref="G3:J3"/>
    <mergeCell ref="G29:J29"/>
  </mergeCells>
  <pageMargins left="0.7" right="0.7" top="0.75" bottom="0.75" header="0.3" footer="0.3"/>
  <pageSetup paperSize="9" scale="4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18"/>
  <sheetViews>
    <sheetView workbookViewId="0">
      <selection sqref="A1:E1"/>
    </sheetView>
  </sheetViews>
  <sheetFormatPr defaultRowHeight="15" x14ac:dyDescent="0.25"/>
  <sheetData>
    <row r="1" spans="1:23" ht="51.75" thickBot="1" x14ac:dyDescent="0.3">
      <c r="A1" s="57" t="s">
        <v>15</v>
      </c>
      <c r="B1" s="57" t="s">
        <v>69</v>
      </c>
      <c r="C1" s="57" t="s">
        <v>70</v>
      </c>
      <c r="D1" s="57" t="s">
        <v>14</v>
      </c>
      <c r="E1" s="57" t="s">
        <v>71</v>
      </c>
      <c r="F1" s="71" t="s">
        <v>28</v>
      </c>
      <c r="G1" s="71"/>
      <c r="H1" s="71"/>
      <c r="I1" s="71"/>
      <c r="J1" s="72"/>
      <c r="K1" s="57"/>
      <c r="L1" s="57"/>
      <c r="M1" s="57"/>
      <c r="N1" s="57"/>
      <c r="O1" s="57"/>
      <c r="P1" s="10"/>
      <c r="Q1" s="10" t="s">
        <v>21</v>
      </c>
      <c r="R1" s="10" t="s">
        <v>49</v>
      </c>
      <c r="S1" s="36" t="s">
        <v>20</v>
      </c>
      <c r="T1" s="36" t="s">
        <v>50</v>
      </c>
      <c r="U1" s="36" t="s">
        <v>51</v>
      </c>
      <c r="V1" s="36" t="s">
        <v>52</v>
      </c>
      <c r="W1" s="9" t="s">
        <v>0</v>
      </c>
    </row>
    <row r="2" spans="1:23" x14ac:dyDescent="0.25">
      <c r="F2" s="28"/>
      <c r="G2" s="89" t="s">
        <v>5</v>
      </c>
      <c r="H2" s="89"/>
      <c r="I2" s="89"/>
      <c r="J2" s="89"/>
      <c r="K2" s="89"/>
      <c r="L2" s="89"/>
      <c r="M2" s="89"/>
      <c r="N2" s="89"/>
      <c r="O2" s="89"/>
      <c r="P2" s="90"/>
    </row>
    <row r="3" spans="1:23" x14ac:dyDescent="0.25">
      <c r="F3" s="28"/>
      <c r="G3" s="89" t="s">
        <v>22</v>
      </c>
      <c r="H3" s="89"/>
      <c r="I3" s="89"/>
      <c r="J3" s="89"/>
      <c r="K3" s="89"/>
      <c r="L3" s="89"/>
      <c r="M3" s="89"/>
      <c r="N3" s="89"/>
      <c r="O3" s="89"/>
      <c r="P3" s="90"/>
    </row>
    <row r="4" spans="1:23" x14ac:dyDescent="0.25">
      <c r="F4" s="28"/>
      <c r="G4" s="89" t="s">
        <v>2</v>
      </c>
      <c r="H4" s="89"/>
      <c r="I4" s="89"/>
      <c r="J4" s="89"/>
      <c r="K4" s="89"/>
      <c r="L4" s="89"/>
      <c r="M4" s="89"/>
      <c r="N4" s="89"/>
      <c r="O4" s="89"/>
      <c r="P4" s="90"/>
    </row>
    <row r="5" spans="1:23" x14ac:dyDescent="0.25">
      <c r="F5" s="28"/>
      <c r="G5" s="89" t="s">
        <v>58</v>
      </c>
      <c r="H5" s="89"/>
      <c r="I5" s="89"/>
      <c r="J5" s="89"/>
      <c r="K5" s="89"/>
      <c r="L5" s="89"/>
      <c r="M5" s="89"/>
      <c r="N5" s="89"/>
      <c r="O5" s="89"/>
      <c r="P5" s="90"/>
    </row>
    <row r="6" spans="1:23" x14ac:dyDescent="0.25">
      <c r="F6" s="28"/>
      <c r="G6" s="89" t="s">
        <v>1</v>
      </c>
      <c r="H6" s="89"/>
      <c r="I6" s="89"/>
      <c r="J6" s="89"/>
      <c r="K6" s="89"/>
      <c r="L6" s="89"/>
      <c r="M6" s="89"/>
      <c r="N6" s="89"/>
      <c r="O6" s="89"/>
      <c r="P6" s="90"/>
    </row>
    <row r="7" spans="1:23" x14ac:dyDescent="0.25">
      <c r="F7" s="28"/>
      <c r="G7" s="89" t="s">
        <v>6</v>
      </c>
      <c r="H7" s="89"/>
      <c r="I7" s="89"/>
      <c r="J7" s="89"/>
      <c r="K7" s="89"/>
      <c r="L7" s="89"/>
      <c r="M7" s="89"/>
      <c r="N7" s="89"/>
      <c r="O7" s="89"/>
      <c r="P7" s="90"/>
    </row>
    <row r="8" spans="1:23" x14ac:dyDescent="0.25">
      <c r="F8" s="28"/>
      <c r="G8" s="89" t="s">
        <v>37</v>
      </c>
      <c r="H8" s="89"/>
      <c r="I8" s="89"/>
      <c r="J8" s="89"/>
      <c r="K8" s="89"/>
      <c r="L8" s="89"/>
      <c r="M8" s="89"/>
      <c r="N8" s="89"/>
      <c r="O8" s="89"/>
      <c r="P8" s="90"/>
    </row>
    <row r="9" spans="1:23" x14ac:dyDescent="0.25">
      <c r="F9" s="28"/>
      <c r="G9" s="67" t="s">
        <v>35</v>
      </c>
      <c r="H9" s="67"/>
      <c r="I9" s="67"/>
      <c r="J9" s="67"/>
      <c r="K9" s="67"/>
      <c r="L9" s="67"/>
      <c r="M9" s="67"/>
      <c r="N9" s="67"/>
      <c r="O9" s="67"/>
      <c r="P9" s="68"/>
    </row>
    <row r="10" spans="1:23" x14ac:dyDescent="0.25">
      <c r="F10" s="28"/>
      <c r="G10" s="67" t="s">
        <v>25</v>
      </c>
      <c r="H10" s="67"/>
      <c r="I10" s="67"/>
      <c r="J10" s="67"/>
      <c r="K10" s="67"/>
      <c r="L10" s="67"/>
      <c r="M10" s="67"/>
      <c r="N10" s="67"/>
      <c r="O10" s="67"/>
      <c r="P10" s="68"/>
    </row>
    <row r="11" spans="1:23" x14ac:dyDescent="0.25">
      <c r="F11" s="28"/>
      <c r="G11" s="89" t="s">
        <v>36</v>
      </c>
      <c r="H11" s="89"/>
      <c r="I11" s="89"/>
      <c r="J11" s="89"/>
      <c r="K11" s="89"/>
      <c r="L11" s="89"/>
      <c r="M11" s="89"/>
      <c r="N11" s="89"/>
      <c r="O11" s="89"/>
      <c r="P11" s="90"/>
    </row>
    <row r="12" spans="1:23" x14ac:dyDescent="0.25">
      <c r="F12" s="28"/>
      <c r="G12" s="83" t="s">
        <v>45</v>
      </c>
      <c r="H12" s="83"/>
      <c r="I12" s="83"/>
      <c r="J12" s="83"/>
      <c r="K12" s="83"/>
      <c r="L12" s="83"/>
      <c r="M12" s="83"/>
      <c r="N12" s="83"/>
      <c r="O12" s="83"/>
      <c r="P12" s="84"/>
    </row>
    <row r="13" spans="1:23" x14ac:dyDescent="0.25">
      <c r="F13" s="28"/>
      <c r="G13" s="83" t="s">
        <v>48</v>
      </c>
      <c r="H13" s="83"/>
      <c r="I13" s="83"/>
      <c r="J13" s="83"/>
      <c r="K13" s="83"/>
      <c r="L13" s="83"/>
      <c r="M13" s="83"/>
      <c r="N13" s="83"/>
      <c r="O13" s="83"/>
      <c r="P13" s="84"/>
    </row>
    <row r="14" spans="1:23" x14ac:dyDescent="0.25">
      <c r="F14" s="28"/>
      <c r="G14" s="83" t="s">
        <v>31</v>
      </c>
      <c r="H14" s="83"/>
      <c r="I14" s="83"/>
      <c r="J14" s="83"/>
      <c r="K14" s="83"/>
      <c r="L14" s="83"/>
      <c r="M14" s="83"/>
      <c r="N14" s="83"/>
      <c r="O14" s="83"/>
      <c r="P14" s="84"/>
    </row>
    <row r="15" spans="1:23" x14ac:dyDescent="0.25">
      <c r="F15" s="28"/>
      <c r="G15" s="85" t="s">
        <v>42</v>
      </c>
      <c r="H15" s="85"/>
      <c r="I15" s="85"/>
      <c r="J15" s="85"/>
      <c r="K15" s="85"/>
      <c r="L15" s="85"/>
      <c r="M15" s="85"/>
      <c r="N15" s="85"/>
      <c r="O15" s="85"/>
      <c r="P15" s="86"/>
    </row>
    <row r="16" spans="1:23" x14ac:dyDescent="0.25">
      <c r="F16" s="28"/>
      <c r="G16" s="85" t="s">
        <v>43</v>
      </c>
      <c r="H16" s="85"/>
      <c r="I16" s="85"/>
      <c r="J16" s="85"/>
      <c r="K16" s="85"/>
      <c r="L16" s="85"/>
      <c r="M16" s="85"/>
      <c r="N16" s="85"/>
      <c r="O16" s="85"/>
      <c r="P16" s="86"/>
    </row>
    <row r="17" spans="6:16" x14ac:dyDescent="0.25">
      <c r="F17" s="28"/>
      <c r="G17" s="85" t="s">
        <v>44</v>
      </c>
      <c r="H17" s="85"/>
      <c r="I17" s="85"/>
      <c r="J17" s="85"/>
      <c r="K17" s="85"/>
      <c r="L17" s="85"/>
      <c r="M17" s="85"/>
      <c r="N17" s="85"/>
      <c r="O17" s="85"/>
      <c r="P17" s="86"/>
    </row>
    <row r="18" spans="6:16" ht="15.75" thickBot="1" x14ac:dyDescent="0.3">
      <c r="F18" s="28"/>
      <c r="G18" s="87" t="s">
        <v>26</v>
      </c>
      <c r="H18" s="87"/>
      <c r="I18" s="87"/>
      <c r="J18" s="87"/>
      <c r="K18" s="87"/>
      <c r="L18" s="87"/>
      <c r="M18" s="87"/>
      <c r="N18" s="87"/>
      <c r="O18" s="87"/>
      <c r="P18" s="88"/>
    </row>
  </sheetData>
  <mergeCells count="18">
    <mergeCell ref="G12:P12"/>
    <mergeCell ref="G13:P13"/>
    <mergeCell ref="G2:P2"/>
    <mergeCell ref="G3:P3"/>
    <mergeCell ref="G4:P4"/>
    <mergeCell ref="G5:P5"/>
    <mergeCell ref="G6:P6"/>
    <mergeCell ref="G7:P7"/>
    <mergeCell ref="G14:P14"/>
    <mergeCell ref="G15:P15"/>
    <mergeCell ref="G16:P16"/>
    <mergeCell ref="G17:P17"/>
    <mergeCell ref="G18:P18"/>
    <mergeCell ref="F1:J1"/>
    <mergeCell ref="G8:P8"/>
    <mergeCell ref="G9:P9"/>
    <mergeCell ref="G10:P10"/>
    <mergeCell ref="G11:P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Q13"/>
  <sheetViews>
    <sheetView workbookViewId="0">
      <selection activeCell="E19" sqref="E19"/>
    </sheetView>
  </sheetViews>
  <sheetFormatPr defaultRowHeight="15" x14ac:dyDescent="0.25"/>
  <sheetData>
    <row r="3" spans="1:17" ht="51.75" thickBot="1" x14ac:dyDescent="0.3">
      <c r="A3" s="57" t="s">
        <v>15</v>
      </c>
      <c r="B3" s="57" t="s">
        <v>69</v>
      </c>
      <c r="C3" s="57" t="s">
        <v>70</v>
      </c>
      <c r="D3" s="57" t="s">
        <v>14</v>
      </c>
      <c r="E3" s="57" t="s">
        <v>71</v>
      </c>
      <c r="F3" s="93" t="s">
        <v>72</v>
      </c>
      <c r="G3" s="93"/>
      <c r="H3" s="93"/>
      <c r="I3" s="93"/>
      <c r="J3" s="93"/>
      <c r="K3" s="93"/>
      <c r="L3" s="93"/>
      <c r="M3" s="93"/>
      <c r="N3" s="93"/>
      <c r="O3" s="93"/>
      <c r="P3" s="93"/>
      <c r="Q3" s="94"/>
    </row>
    <row r="4" spans="1:17" ht="51.75" thickBot="1" x14ac:dyDescent="0.3">
      <c r="G4" s="95" t="s">
        <v>73</v>
      </c>
      <c r="H4" s="98" t="s">
        <v>74</v>
      </c>
      <c r="I4" s="98"/>
      <c r="J4" s="99"/>
      <c r="K4" s="100" t="s">
        <v>75</v>
      </c>
      <c r="L4" s="101"/>
      <c r="M4" s="36" t="s">
        <v>76</v>
      </c>
      <c r="N4" s="36" t="s">
        <v>50</v>
      </c>
      <c r="O4" s="9" t="s">
        <v>51</v>
      </c>
      <c r="P4" s="36" t="s">
        <v>52</v>
      </c>
      <c r="Q4" s="9" t="s">
        <v>77</v>
      </c>
    </row>
    <row r="5" spans="1:17" x14ac:dyDescent="0.25">
      <c r="G5" s="96"/>
      <c r="H5" s="91" t="s">
        <v>78</v>
      </c>
      <c r="I5" s="91"/>
      <c r="J5" s="91"/>
      <c r="K5" s="102"/>
      <c r="L5" s="102"/>
      <c r="M5" s="58"/>
      <c r="N5" s="58"/>
      <c r="O5" s="58"/>
      <c r="P5" s="59"/>
      <c r="Q5" s="60"/>
    </row>
    <row r="6" spans="1:17" x14ac:dyDescent="0.25">
      <c r="G6" s="96"/>
      <c r="H6" s="91" t="s">
        <v>79</v>
      </c>
      <c r="I6" s="91"/>
      <c r="J6" s="91"/>
      <c r="K6" s="92"/>
      <c r="L6" s="92"/>
      <c r="M6" s="61"/>
      <c r="N6" s="61"/>
      <c r="O6" s="61"/>
      <c r="P6" s="61"/>
      <c r="Q6" s="62"/>
    </row>
    <row r="7" spans="1:17" x14ac:dyDescent="0.25">
      <c r="G7" s="96"/>
      <c r="H7" s="91" t="s">
        <v>80</v>
      </c>
      <c r="I7" s="91"/>
      <c r="J7" s="91"/>
      <c r="K7" s="92" t="s">
        <v>81</v>
      </c>
      <c r="L7" s="92"/>
      <c r="M7" s="63">
        <v>1</v>
      </c>
      <c r="N7" s="61"/>
      <c r="O7" s="61"/>
      <c r="P7" s="61"/>
      <c r="Q7" s="62"/>
    </row>
    <row r="8" spans="1:17" x14ac:dyDescent="0.25">
      <c r="G8" s="96"/>
      <c r="H8" s="91" t="s">
        <v>82</v>
      </c>
      <c r="I8" s="91"/>
      <c r="J8" s="91"/>
      <c r="K8" s="92" t="s">
        <v>81</v>
      </c>
      <c r="L8" s="92"/>
      <c r="M8" s="63">
        <v>1.5</v>
      </c>
      <c r="N8" s="61"/>
      <c r="O8" s="61"/>
      <c r="P8" s="61"/>
      <c r="Q8" s="62"/>
    </row>
    <row r="9" spans="1:17" x14ac:dyDescent="0.25">
      <c r="G9" s="96"/>
      <c r="H9" s="91" t="s">
        <v>83</v>
      </c>
      <c r="I9" s="91"/>
      <c r="J9" s="91"/>
      <c r="K9" s="92" t="s">
        <v>81</v>
      </c>
      <c r="L9" s="92"/>
      <c r="M9" s="63">
        <v>2</v>
      </c>
      <c r="N9" s="61"/>
      <c r="O9" s="61"/>
      <c r="P9" s="61"/>
      <c r="Q9" s="62"/>
    </row>
    <row r="10" spans="1:17" x14ac:dyDescent="0.25">
      <c r="G10" s="96"/>
      <c r="H10" s="91" t="s">
        <v>84</v>
      </c>
      <c r="I10" s="91"/>
      <c r="J10" s="91"/>
      <c r="K10" s="92"/>
      <c r="L10" s="92"/>
      <c r="M10" s="61"/>
      <c r="N10" s="61"/>
      <c r="O10" s="61"/>
      <c r="P10" s="61"/>
      <c r="Q10" s="62"/>
    </row>
    <row r="11" spans="1:17" x14ac:dyDescent="0.25">
      <c r="G11" s="96"/>
      <c r="H11" s="91" t="s">
        <v>84</v>
      </c>
      <c r="I11" s="91"/>
      <c r="J11" s="91"/>
      <c r="K11" s="92"/>
      <c r="L11" s="92"/>
      <c r="M11" s="61"/>
      <c r="N11" s="61"/>
      <c r="O11" s="61"/>
      <c r="P11" s="61"/>
      <c r="Q11" s="62"/>
    </row>
    <row r="12" spans="1:17" x14ac:dyDescent="0.25">
      <c r="G12" s="96"/>
      <c r="H12" s="91" t="s">
        <v>85</v>
      </c>
      <c r="I12" s="91"/>
      <c r="J12" s="91"/>
      <c r="K12" s="92"/>
      <c r="L12" s="92"/>
      <c r="M12" s="64"/>
      <c r="N12" s="64"/>
      <c r="O12" s="64"/>
      <c r="P12" s="64"/>
      <c r="Q12" s="62"/>
    </row>
    <row r="13" spans="1:17" ht="15.75" thickBot="1" x14ac:dyDescent="0.3">
      <c r="G13" s="97"/>
      <c r="H13" s="91" t="s">
        <v>86</v>
      </c>
      <c r="I13" s="91"/>
      <c r="J13" s="91"/>
      <c r="K13" s="92"/>
      <c r="L13" s="92"/>
      <c r="M13" s="65"/>
      <c r="N13" s="65"/>
      <c r="O13" s="65"/>
      <c r="P13" s="65"/>
      <c r="Q13" s="66"/>
    </row>
  </sheetData>
  <mergeCells count="22">
    <mergeCell ref="F3:Q3"/>
    <mergeCell ref="G4:G13"/>
    <mergeCell ref="H4:J4"/>
    <mergeCell ref="K4:L4"/>
    <mergeCell ref="H5:J5"/>
    <mergeCell ref="K5:L5"/>
    <mergeCell ref="H6:J6"/>
    <mergeCell ref="K6:L6"/>
    <mergeCell ref="H7:J7"/>
    <mergeCell ref="K7:L7"/>
    <mergeCell ref="H8:J8"/>
    <mergeCell ref="K8:L8"/>
    <mergeCell ref="H9:J9"/>
    <mergeCell ref="K9:L9"/>
    <mergeCell ref="H10:J10"/>
    <mergeCell ref="K10:L10"/>
    <mergeCell ref="H11:J11"/>
    <mergeCell ref="K11:L11"/>
    <mergeCell ref="H12:J12"/>
    <mergeCell ref="K12:L12"/>
    <mergeCell ref="H13:J13"/>
    <mergeCell ref="K13:L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карта 15</vt:lpstr>
      <vt:lpstr>Новый магазин</vt:lpstr>
      <vt:lpstr>таблица ВД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2016-11-10T10:14:44Z</dcterms:modified>
</cp:coreProperties>
</file>